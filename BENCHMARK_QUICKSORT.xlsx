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OES OS" sheetId="1" r:id="rId5"/>
    <sheet state="visible" name="Resultados" sheetId="2" r:id="rId6"/>
    <sheet state="visible" name="Gráficos" sheetId="3" r:id="rId7"/>
  </sheets>
  <definedNames/>
  <calcPr/>
</workbook>
</file>

<file path=xl/sharedStrings.xml><?xml version="1.0" encoding="utf-8"?>
<sst xmlns="http://schemas.openxmlformats.org/spreadsheetml/2006/main" count="104" uniqueCount="70">
  <si>
    <t>Sistema Operacional</t>
  </si>
  <si>
    <t>Nome</t>
  </si>
  <si>
    <t>Fedora Linux</t>
  </si>
  <si>
    <t>Versão</t>
  </si>
  <si>
    <t>44 (Workstation Edition)</t>
  </si>
  <si>
    <t>Kernel</t>
  </si>
  <si>
    <t>7.2.7-200.fc44.x86_64</t>
  </si>
  <si>
    <t>Virtualização</t>
  </si>
  <si>
    <t>Tipo</t>
  </si>
  <si>
    <t>none</t>
  </si>
  <si>
    <t>Hardware</t>
  </si>
  <si>
    <t>Chassis</t>
  </si>
  <si>
    <t>laptop</t>
  </si>
  <si>
    <t>Fabricante</t>
  </si>
  <si>
    <t>ASUSTeK COMPUTER INC.</t>
  </si>
  <si>
    <t>Modelo</t>
  </si>
  <si>
    <t>ASUS Vivobook S 14 S5406SA_S5406SA</t>
  </si>
  <si>
    <t>Versão do Hardware</t>
  </si>
  <si>
    <t>1.0</t>
  </si>
  <si>
    <t>CPU</t>
  </si>
  <si>
    <t>Intel(R) Core(TM) Ultra 7 256V</t>
  </si>
  <si>
    <t>CPUs</t>
  </si>
  <si>
    <t>Threads por núcleo</t>
  </si>
  <si>
    <t>Núcleos por soquete</t>
  </si>
  <si>
    <t>Soquetes</t>
  </si>
  <si>
    <t>Uso de frequência (scaling)</t>
  </si>
  <si>
    <t>Frequência máxima (MHz)</t>
  </si>
  <si>
    <t>Frequência mínima (MHz)</t>
  </si>
  <si>
    <t>Memória</t>
  </si>
  <si>
    <t>RAM Total</t>
  </si>
  <si>
    <t>15 GiB</t>
  </si>
  <si>
    <t>RAM Usada</t>
  </si>
  <si>
    <t>5,3 GiB</t>
  </si>
  <si>
    <t>RAM Livre</t>
  </si>
  <si>
    <t>6,6 GiB</t>
  </si>
  <si>
    <t>RAM Compartilhada</t>
  </si>
  <si>
    <t>204 MiB</t>
  </si>
  <si>
    <t>Buff/Cache</t>
  </si>
  <si>
    <t>3,4 GiB</t>
  </si>
  <si>
    <t>RAM Disponível</t>
  </si>
  <si>
    <t>9,8 GiB</t>
  </si>
  <si>
    <t>Swap Total</t>
  </si>
  <si>
    <t>8,0 GiB</t>
  </si>
  <si>
    <t>Swap Usada</t>
  </si>
  <si>
    <t>0 B</t>
  </si>
  <si>
    <t>Swap Livre</t>
  </si>
  <si>
    <t>Disco</t>
  </si>
  <si>
    <t>zram0</t>
  </si>
  <si>
    <t>8 GB (disk)</t>
  </si>
  <si>
    <t>nvme0n1</t>
  </si>
  <si>
    <t>476,9 GB (disk) – MTFDKBA512QGN-1BN1AABGA</t>
  </si>
  <si>
    <t>Quicksort CPU-bound - Tempo, Speedup e Eficiência</t>
  </si>
  <si>
    <t>Preencha apenas as células amarelas (tempo em segundos). Speedup e eficiência são calculados automaticamente.</t>
  </si>
  <si>
    <t>Speedup = T1 / Tn   |   Eficiência = Speedup / n   (T1 = tempo com 1 thread/processo do mesmo bloco)</t>
  </si>
  <si>
    <t>Sequencial (Python)</t>
  </si>
  <si>
    <t>segundos</t>
  </si>
  <si>
    <t>Multithreading - COM GIL</t>
  </si>
  <si>
    <t>Nº threads</t>
  </si>
  <si>
    <t>Tempo (s)</t>
  </si>
  <si>
    <t>Speedup</t>
  </si>
  <si>
    <t>Eficiência</t>
  </si>
  <si>
    <t>Multithreading - SEM GIL</t>
  </si>
  <si>
    <t>Multiprocessing</t>
  </si>
  <si>
    <t>Nº processos</t>
  </si>
  <si>
    <t>OpenMP (C)</t>
  </si>
  <si>
    <t>Speedup ideal (auxiliar dos gráficos)</t>
  </si>
  <si>
    <t>n</t>
  </si>
  <si>
    <t>Ideal</t>
  </si>
  <si>
    <t>Os gráficos leem as células da aba Resultados:</t>
  </si>
  <si>
    <t>ao alterar um tempo lá, eles se atualizam sozinhos.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</si>
</sst>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\x"/>
    <numFmt numFmtId="166" formatCode="0.0%"/>
  </numFmts>
  <fonts count="12">
    <font>
      <sz val="11.0"/>
      <color theme="1"/>
      <name val="Calibri"/>
      <scheme val="minor"/>
    </font>
    <font>
      <b/>
      <color theme="1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  <font>
      <b/>
      <sz val="14.0"/>
      <color theme="1"/>
      <name val="Arial"/>
    </font>
    <font>
      <i/>
      <sz val="9.0"/>
      <color rgb="FF555555"/>
      <name val="Arial"/>
    </font>
    <font>
      <b/>
      <sz val="11.0"/>
      <color theme="1"/>
      <name val="Arial"/>
    </font>
    <font>
      <sz val="11.0"/>
      <color rgb="FF0000FF"/>
      <name val="Arial"/>
    </font>
    <font>
      <sz val="9.0"/>
      <color rgb="FF555555"/>
      <name val="Arial"/>
    </font>
    <font/>
    <font>
      <b/>
      <sz val="11.0"/>
      <color rgb="FFFFFFFF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  <fill>
      <patternFill patternType="solid">
        <fgColor rgb="FF666666"/>
        <bgColor rgb="FF666666"/>
      </patternFill>
    </fill>
    <fill>
      <patternFill patternType="solid">
        <fgColor rgb="FFE5E7EB"/>
        <bgColor rgb="FFE5E7EB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D9E1F2"/>
        <bgColor rgb="FFD9E1F2"/>
      </patternFill>
    </fill>
    <fill>
      <patternFill patternType="solid">
        <fgColor rgb="FFFFFF99"/>
        <bgColor rgb="FFFFFF99"/>
      </patternFill>
    </fill>
    <fill>
      <patternFill patternType="solid">
        <fgColor rgb="FF1F4E78"/>
        <bgColor rgb="FF1F4E78"/>
      </patternFill>
    </fill>
  </fills>
  <borders count="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3" fontId="3" numFmtId="9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1" fillId="10" fontId="7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9" fontId="6" numFmtId="0" xfId="0" applyAlignment="1" applyBorder="1" applyFill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1" fillId="11" fontId="10" numFmtId="0" xfId="0" applyAlignment="1" applyBorder="1" applyFill="1" applyFon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10" fontId="7" numFmtId="164" xfId="0" applyAlignment="1" applyBorder="1" applyFill="1" applyFont="1" applyNumberFormat="1">
      <alignment horizontal="center" shrinkToFit="0" vertical="center" wrapText="0"/>
    </xf>
    <xf borderId="1" fillId="0" fontId="11" numFmtId="165" xfId="0" applyAlignment="1" applyBorder="1" applyFont="1" applyNumberFormat="1">
      <alignment horizontal="center" shrinkToFit="0" vertical="center" wrapText="0"/>
    </xf>
    <xf borderId="1" fillId="0" fontId="11" numFmtId="166" xfId="0" applyAlignment="1" applyBorder="1" applyFont="1" applyNumberFormat="1">
      <alignment horizontal="center" shrinkToFit="0" vertical="center" wrapText="0"/>
    </xf>
    <xf borderId="1" fillId="10" fontId="7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5" fillId="11" fontId="10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Tempo de execução (escala logarítmica)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Threads COM GIL</c:v>
          </c:tx>
          <c:spPr>
            <a:ln cmpd="sng" w="19050">
              <a:solidFill>
                <a:srgbClr val="C0504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0504D">
                  <a:alpha val="100000"/>
                </a:srgbClr>
              </a:solidFill>
              <a:ln cmpd="sng">
                <a:solidFill>
                  <a:srgbClr val="C0504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Resultados!$B$9:$B$12</c:f>
              <c:numCache/>
            </c:numRef>
          </c:val>
          <c:smooth val="0"/>
        </c:ser>
        <c:ser>
          <c:idx val="1"/>
          <c:order val="1"/>
          <c:tx>
            <c:v>Threads SEM GIL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Resultados!$B$16:$B$19</c:f>
              <c:numCache/>
            </c:numRef>
          </c:val>
          <c:smooth val="0"/>
        </c:ser>
        <c:ser>
          <c:idx val="2"/>
          <c:order val="2"/>
          <c:tx>
            <c:v>Multiprocessing</c:v>
          </c:tx>
          <c:spPr>
            <a:ln cmpd="sng" w="19050">
              <a:solidFill>
                <a:srgbClr val="9BBB5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9BBB59">
                  <a:alpha val="100000"/>
                </a:srgbClr>
              </a:solidFill>
              <a:ln cmpd="sng">
                <a:solidFill>
                  <a:srgbClr val="9BBB59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Resultados!$B$23:$B$26</c:f>
              <c:numCache/>
            </c:numRef>
          </c:val>
          <c:smooth val="0"/>
        </c:ser>
        <c:ser>
          <c:idx val="3"/>
          <c:order val="3"/>
          <c:tx>
            <c:v>OpenMP (C)</c:v>
          </c:tx>
          <c:spPr>
            <a:ln cmpd="sng" w="19050">
              <a:solidFill>
                <a:srgbClr val="F7964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79646">
                  <a:alpha val="100000"/>
                </a:srgbClr>
              </a:solidFill>
              <a:ln cmpd="sng">
                <a:solidFill>
                  <a:srgbClr val="F79646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Resultados!$B$30:$B$33</c:f>
              <c:numCache/>
            </c:numRef>
          </c:val>
          <c:smooth val="0"/>
        </c:ser>
        <c:axId val="638437936"/>
        <c:axId val="766418096"/>
      </c:lineChart>
      <c:catAx>
        <c:axId val="63843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de threads / processos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6418096"/>
      </c:catAx>
      <c:valAx>
        <c:axId val="766418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Tempo (s)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843793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(T1 / Tn)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Threads COM GIL</c:v>
          </c:tx>
          <c:spPr>
            <a:ln cmpd="sng" w="19050">
              <a:solidFill>
                <a:srgbClr val="C0504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0504D">
                  <a:alpha val="100000"/>
                </a:srgbClr>
              </a:solidFill>
              <a:ln cmpd="sng">
                <a:solidFill>
                  <a:srgbClr val="C0504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Resultados!$C$9:$C$12</c:f>
              <c:numCache/>
            </c:numRef>
          </c:val>
          <c:smooth val="0"/>
        </c:ser>
        <c:ser>
          <c:idx val="1"/>
          <c:order val="1"/>
          <c:tx>
            <c:v>Threads SEM GIL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Resultados!$C$16:$C$19</c:f>
              <c:numCache/>
            </c:numRef>
          </c:val>
          <c:smooth val="0"/>
        </c:ser>
        <c:ser>
          <c:idx val="2"/>
          <c:order val="2"/>
          <c:tx>
            <c:v>Multiprocessing</c:v>
          </c:tx>
          <c:spPr>
            <a:ln cmpd="sng" w="19050">
              <a:solidFill>
                <a:srgbClr val="9BBB5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9BBB59">
                  <a:alpha val="100000"/>
                </a:srgbClr>
              </a:solidFill>
              <a:ln cmpd="sng">
                <a:solidFill>
                  <a:srgbClr val="9BBB59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Resultados!$C$23:$C$26</c:f>
              <c:numCache/>
            </c:numRef>
          </c:val>
          <c:smooth val="0"/>
        </c:ser>
        <c:ser>
          <c:idx val="3"/>
          <c:order val="3"/>
          <c:tx>
            <c:v>OpenMP (C)</c:v>
          </c:tx>
          <c:spPr>
            <a:ln cmpd="sng" w="19050">
              <a:solidFill>
                <a:srgbClr val="F7964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79646">
                  <a:alpha val="100000"/>
                </a:srgbClr>
              </a:solidFill>
              <a:ln cmpd="sng">
                <a:solidFill>
                  <a:srgbClr val="F79646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Resultados!$C$30:$C$33</c:f>
              <c:numCache/>
            </c:numRef>
          </c:val>
          <c:smooth val="0"/>
        </c:ser>
        <c:ser>
          <c:idx val="4"/>
          <c:order val="4"/>
          <c:tx>
            <c:v>Ideal</c:v>
          </c:tx>
          <c:spPr>
            <a:ln cmpd="sng" w="19050">
              <a:solidFill>
                <a:srgbClr val="7F7F7F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Resultados!$A$9:$A$12</c:f>
            </c:strRef>
          </c:cat>
          <c:val>
            <c:numRef>
              <c:f>'Gráficos'!$B$3:$B$6</c:f>
              <c:numCache/>
            </c:numRef>
          </c:val>
          <c:smooth val="0"/>
        </c:ser>
        <c:axId val="1926684886"/>
        <c:axId val="1295547752"/>
      </c:lineChart>
      <c:catAx>
        <c:axId val="1926684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de threads / processos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5547752"/>
      </c:catAx>
      <c:valAx>
        <c:axId val="1295547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2668488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Eficiência (Speedup / n)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Threads COM GIL</c:v>
          </c:tx>
          <c:spPr>
            <a:ln cmpd="sng" w="19050">
              <a:solidFill>
                <a:srgbClr val="C0504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0504D">
                  <a:alpha val="100000"/>
                </a:srgbClr>
              </a:solidFill>
              <a:ln cmpd="sng">
                <a:solidFill>
                  <a:srgbClr val="C0504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Resultados!$D$9:$D$12</c:f>
              <c:numCache/>
            </c:numRef>
          </c:val>
          <c:smooth val="0"/>
        </c:ser>
        <c:ser>
          <c:idx val="1"/>
          <c:order val="1"/>
          <c:tx>
            <c:v>Threads SEM GIL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Resultados!$D$16:$D$19</c:f>
              <c:numCache/>
            </c:numRef>
          </c:val>
          <c:smooth val="0"/>
        </c:ser>
        <c:ser>
          <c:idx val="2"/>
          <c:order val="2"/>
          <c:tx>
            <c:v>Multiprocessing</c:v>
          </c:tx>
          <c:spPr>
            <a:ln cmpd="sng" w="19050">
              <a:solidFill>
                <a:srgbClr val="9BBB5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9BBB59">
                  <a:alpha val="100000"/>
                </a:srgbClr>
              </a:solidFill>
              <a:ln cmpd="sng">
                <a:solidFill>
                  <a:srgbClr val="9BBB59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Resultados!$D$23:$D$26</c:f>
              <c:numCache/>
            </c:numRef>
          </c:val>
          <c:smooth val="0"/>
        </c:ser>
        <c:ser>
          <c:idx val="3"/>
          <c:order val="3"/>
          <c:tx>
            <c:v>OpenMP (C)</c:v>
          </c:tx>
          <c:spPr>
            <a:ln cmpd="sng" w="19050">
              <a:solidFill>
                <a:srgbClr val="F79646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79646">
                  <a:alpha val="100000"/>
                </a:srgbClr>
              </a:solidFill>
              <a:ln cmpd="sng">
                <a:solidFill>
                  <a:srgbClr val="F79646">
                    <a:alpha val="100000"/>
                  </a:srgbClr>
                </a:solidFill>
              </a:ln>
            </c:spPr>
          </c:marker>
          <c:cat>
            <c:strRef>
              <c:f>Resultados!$A$9:$A$12</c:f>
            </c:strRef>
          </c:cat>
          <c:val>
            <c:numRef>
              <c:f>Resultados!$D$30:$D$33</c:f>
              <c:numCache/>
            </c:numRef>
          </c:val>
          <c:smooth val="0"/>
        </c:ser>
        <c:axId val="2139767295"/>
        <c:axId val="27187304"/>
      </c:lineChart>
      <c:catAx>
        <c:axId val="213976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de threads / processos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187304"/>
      </c:catAx>
      <c:valAx>
        <c:axId val="27187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Eficiência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976729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81025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0</xdr:rowOff>
    </xdr:from>
    <xdr:ext cx="5810250" cy="34004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38</xdr:row>
      <xdr:rowOff>0</xdr:rowOff>
    </xdr:from>
    <xdr:ext cx="5810250" cy="3400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7.0"/>
    <col customWidth="1" min="3" max="3" width="35.0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0</v>
      </c>
      <c r="B2" s="2" t="s">
        <v>3</v>
      </c>
      <c r="C2" s="3" t="s">
        <v>4</v>
      </c>
    </row>
    <row r="3">
      <c r="A3" s="1" t="s">
        <v>0</v>
      </c>
      <c r="B3" s="2" t="s">
        <v>5</v>
      </c>
      <c r="C3" s="3" t="s">
        <v>6</v>
      </c>
    </row>
    <row r="4">
      <c r="A4" s="4" t="s">
        <v>7</v>
      </c>
      <c r="B4" s="2" t="s">
        <v>8</v>
      </c>
      <c r="C4" s="3" t="s">
        <v>9</v>
      </c>
    </row>
    <row r="5">
      <c r="A5" s="5" t="s">
        <v>10</v>
      </c>
      <c r="B5" s="2" t="s">
        <v>11</v>
      </c>
      <c r="C5" s="3" t="s">
        <v>12</v>
      </c>
    </row>
    <row r="6">
      <c r="A6" s="5" t="s">
        <v>10</v>
      </c>
      <c r="B6" s="2" t="s">
        <v>13</v>
      </c>
      <c r="C6" s="3" t="s">
        <v>14</v>
      </c>
    </row>
    <row r="7">
      <c r="A7" s="5" t="s">
        <v>10</v>
      </c>
      <c r="B7" s="2" t="s">
        <v>15</v>
      </c>
      <c r="C7" s="3" t="s">
        <v>16</v>
      </c>
    </row>
    <row r="8">
      <c r="A8" s="5" t="s">
        <v>10</v>
      </c>
      <c r="B8" s="2" t="s">
        <v>17</v>
      </c>
      <c r="C8" s="3" t="s">
        <v>18</v>
      </c>
    </row>
    <row r="9">
      <c r="A9" s="6" t="s">
        <v>19</v>
      </c>
      <c r="B9" s="2" t="s">
        <v>15</v>
      </c>
      <c r="C9" s="3" t="s">
        <v>20</v>
      </c>
    </row>
    <row r="10">
      <c r="A10" s="6" t="s">
        <v>19</v>
      </c>
      <c r="B10" s="2" t="s">
        <v>21</v>
      </c>
      <c r="C10" s="3">
        <v>8.0</v>
      </c>
    </row>
    <row r="11">
      <c r="A11" s="6" t="s">
        <v>19</v>
      </c>
      <c r="B11" s="2" t="s">
        <v>22</v>
      </c>
      <c r="C11" s="3">
        <v>1.0</v>
      </c>
    </row>
    <row r="12">
      <c r="A12" s="6" t="s">
        <v>19</v>
      </c>
      <c r="B12" s="2" t="s">
        <v>23</v>
      </c>
      <c r="C12" s="3">
        <v>8.0</v>
      </c>
    </row>
    <row r="13">
      <c r="A13" s="6" t="s">
        <v>19</v>
      </c>
      <c r="B13" s="2" t="s">
        <v>24</v>
      </c>
      <c r="C13" s="3">
        <v>1.0</v>
      </c>
    </row>
    <row r="14">
      <c r="A14" s="6" t="s">
        <v>19</v>
      </c>
      <c r="B14" s="2" t="s">
        <v>25</v>
      </c>
      <c r="C14" s="7">
        <v>0.44</v>
      </c>
    </row>
    <row r="15">
      <c r="A15" s="6" t="s">
        <v>19</v>
      </c>
      <c r="B15" s="2" t="s">
        <v>26</v>
      </c>
      <c r="C15" s="3">
        <v>4800.0</v>
      </c>
    </row>
    <row r="16">
      <c r="A16" s="6" t="s">
        <v>19</v>
      </c>
      <c r="B16" s="2" t="s">
        <v>27</v>
      </c>
      <c r="C16" s="3">
        <v>400.0</v>
      </c>
    </row>
    <row r="17">
      <c r="A17" s="8" t="s">
        <v>28</v>
      </c>
      <c r="B17" s="2" t="s">
        <v>29</v>
      </c>
      <c r="C17" s="3" t="s">
        <v>30</v>
      </c>
    </row>
    <row r="18">
      <c r="A18" s="8" t="s">
        <v>28</v>
      </c>
      <c r="B18" s="2" t="s">
        <v>31</v>
      </c>
      <c r="C18" s="3" t="s">
        <v>32</v>
      </c>
    </row>
    <row r="19">
      <c r="A19" s="8" t="s">
        <v>28</v>
      </c>
      <c r="B19" s="2" t="s">
        <v>33</v>
      </c>
      <c r="C19" s="3" t="s">
        <v>34</v>
      </c>
    </row>
    <row r="20">
      <c r="A20" s="8" t="s">
        <v>28</v>
      </c>
      <c r="B20" s="2" t="s">
        <v>35</v>
      </c>
      <c r="C20" s="3" t="s">
        <v>36</v>
      </c>
    </row>
    <row r="21">
      <c r="A21" s="8" t="s">
        <v>28</v>
      </c>
      <c r="B21" s="2" t="s">
        <v>37</v>
      </c>
      <c r="C21" s="3" t="s">
        <v>38</v>
      </c>
    </row>
    <row r="22">
      <c r="A22" s="8" t="s">
        <v>28</v>
      </c>
      <c r="B22" s="2" t="s">
        <v>39</v>
      </c>
      <c r="C22" s="3" t="s">
        <v>40</v>
      </c>
    </row>
    <row r="23">
      <c r="A23" s="8" t="s">
        <v>28</v>
      </c>
      <c r="B23" s="2" t="s">
        <v>41</v>
      </c>
      <c r="C23" s="3" t="s">
        <v>42</v>
      </c>
    </row>
    <row r="24">
      <c r="A24" s="8" t="s">
        <v>28</v>
      </c>
      <c r="B24" s="2" t="s">
        <v>43</v>
      </c>
      <c r="C24" s="3" t="s">
        <v>44</v>
      </c>
    </row>
    <row r="25">
      <c r="A25" s="8" t="s">
        <v>28</v>
      </c>
      <c r="B25" s="2" t="s">
        <v>45</v>
      </c>
      <c r="C25" s="3" t="s">
        <v>42</v>
      </c>
    </row>
    <row r="26">
      <c r="A26" s="9" t="s">
        <v>46</v>
      </c>
      <c r="B26" s="2" t="s">
        <v>47</v>
      </c>
      <c r="C26" s="3" t="s">
        <v>48</v>
      </c>
    </row>
    <row r="27">
      <c r="A27" s="9" t="s">
        <v>46</v>
      </c>
      <c r="B27" s="2" t="s">
        <v>49</v>
      </c>
      <c r="C27" s="3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4" width="18.0"/>
    <col customWidth="1" min="5" max="6" width="8.71"/>
  </cols>
  <sheetData>
    <row r="1">
      <c r="A1" s="10" t="s">
        <v>51</v>
      </c>
    </row>
    <row r="2">
      <c r="A2" s="11" t="s">
        <v>52</v>
      </c>
    </row>
    <row r="3">
      <c r="A3" s="11" t="s">
        <v>53</v>
      </c>
    </row>
    <row r="5">
      <c r="A5" s="12" t="s">
        <v>54</v>
      </c>
      <c r="B5" s="13">
        <v>2.2</v>
      </c>
      <c r="C5" s="14" t="s">
        <v>55</v>
      </c>
    </row>
    <row r="7">
      <c r="A7" s="15" t="s">
        <v>56</v>
      </c>
      <c r="B7" s="16"/>
      <c r="C7" s="16"/>
      <c r="D7" s="17"/>
    </row>
    <row r="8">
      <c r="A8" s="18" t="s">
        <v>57</v>
      </c>
      <c r="B8" s="18" t="s">
        <v>58</v>
      </c>
      <c r="C8" s="18" t="s">
        <v>59</v>
      </c>
      <c r="D8" s="18" t="s">
        <v>60</v>
      </c>
    </row>
    <row r="9">
      <c r="A9" s="19">
        <v>1.0</v>
      </c>
      <c r="B9" s="20">
        <v>2.3311</v>
      </c>
      <c r="C9" s="21">
        <f t="shared" ref="C9:C12" si="1">IF(OR(B9="",$B$9=""),"",$B$9/B9)</f>
        <v>1</v>
      </c>
      <c r="D9" s="22">
        <f t="shared" ref="D9:D12" si="2">IF(C9="","",C9/A9)</f>
        <v>1</v>
      </c>
    </row>
    <row r="10">
      <c r="A10" s="19">
        <v>2.0</v>
      </c>
      <c r="B10" s="20">
        <v>2.1696</v>
      </c>
      <c r="C10" s="21">
        <f t="shared" si="1"/>
        <v>1.074437684</v>
      </c>
      <c r="D10" s="22">
        <f t="shared" si="2"/>
        <v>0.5372188422</v>
      </c>
    </row>
    <row r="11">
      <c r="A11" s="19">
        <v>4.0</v>
      </c>
      <c r="B11" s="23">
        <v>2.3875</v>
      </c>
      <c r="C11" s="21">
        <f t="shared" si="1"/>
        <v>0.9763769634</v>
      </c>
      <c r="D11" s="22">
        <f t="shared" si="2"/>
        <v>0.2440942408</v>
      </c>
    </row>
    <row r="12">
      <c r="A12" s="19">
        <v>8.0</v>
      </c>
      <c r="B12" s="20">
        <v>2.0695</v>
      </c>
      <c r="C12" s="21">
        <f t="shared" si="1"/>
        <v>1.126407345</v>
      </c>
      <c r="D12" s="22">
        <f t="shared" si="2"/>
        <v>0.1408009181</v>
      </c>
    </row>
    <row r="14">
      <c r="A14" s="15" t="s">
        <v>61</v>
      </c>
      <c r="B14" s="16"/>
      <c r="C14" s="16"/>
      <c r="D14" s="17"/>
    </row>
    <row r="15">
      <c r="A15" s="18" t="s">
        <v>57</v>
      </c>
      <c r="B15" s="18" t="s">
        <v>58</v>
      </c>
      <c r="C15" s="18" t="s">
        <v>59</v>
      </c>
      <c r="D15" s="18" t="s">
        <v>60</v>
      </c>
    </row>
    <row r="16">
      <c r="A16" s="19">
        <v>1.0</v>
      </c>
      <c r="B16" s="20">
        <v>3.3567</v>
      </c>
      <c r="C16" s="21">
        <f t="shared" ref="C16:C19" si="3">IF(OR(B16="",$B$16=""),"",$B$16/B16)</f>
        <v>1</v>
      </c>
      <c r="D16" s="22">
        <f t="shared" ref="D16:D19" si="4">IF(C16="","",C16/A16)</f>
        <v>1</v>
      </c>
    </row>
    <row r="17">
      <c r="A17" s="19">
        <v>2.0</v>
      </c>
      <c r="B17" s="20">
        <v>1.8547</v>
      </c>
      <c r="C17" s="21">
        <f t="shared" si="3"/>
        <v>1.809834475</v>
      </c>
      <c r="D17" s="22">
        <f t="shared" si="4"/>
        <v>0.9049172373</v>
      </c>
    </row>
    <row r="18">
      <c r="A18" s="19">
        <v>4.0</v>
      </c>
      <c r="B18" s="20">
        <v>1.2331</v>
      </c>
      <c r="C18" s="21">
        <f t="shared" si="3"/>
        <v>2.722163653</v>
      </c>
      <c r="D18" s="22">
        <f t="shared" si="4"/>
        <v>0.6805409131</v>
      </c>
    </row>
    <row r="19">
      <c r="A19" s="19">
        <v>8.0</v>
      </c>
      <c r="B19" s="20">
        <v>1.0194</v>
      </c>
      <c r="C19" s="21">
        <f t="shared" si="3"/>
        <v>3.292819305</v>
      </c>
      <c r="D19" s="22">
        <f t="shared" si="4"/>
        <v>0.4116024132</v>
      </c>
    </row>
    <row r="21" ht="15.75" customHeight="1">
      <c r="A21" s="15" t="s">
        <v>62</v>
      </c>
      <c r="B21" s="16"/>
      <c r="C21" s="16"/>
      <c r="D21" s="17"/>
    </row>
    <row r="22" ht="15.75" customHeight="1">
      <c r="A22" s="18" t="s">
        <v>63</v>
      </c>
      <c r="B22" s="18" t="s">
        <v>58</v>
      </c>
      <c r="C22" s="18" t="s">
        <v>59</v>
      </c>
      <c r="D22" s="18" t="s">
        <v>60</v>
      </c>
    </row>
    <row r="23" ht="15.75" customHeight="1">
      <c r="A23" s="19">
        <v>1.0</v>
      </c>
      <c r="B23" s="20">
        <v>2.5906</v>
      </c>
      <c r="C23" s="21">
        <f t="shared" ref="C23:C26" si="5">IF(OR(B23="",$B$23=""),"",$B$23/B23)</f>
        <v>1</v>
      </c>
      <c r="D23" s="22">
        <f t="shared" ref="D23:D26" si="6">IF(C23="","",C23/A23)</f>
        <v>1</v>
      </c>
    </row>
    <row r="24" ht="15.75" customHeight="1">
      <c r="A24" s="19">
        <v>2.0</v>
      </c>
      <c r="B24" s="20">
        <v>1.2755</v>
      </c>
      <c r="C24" s="21">
        <f t="shared" si="5"/>
        <v>2.031046648</v>
      </c>
      <c r="D24" s="22">
        <f t="shared" si="6"/>
        <v>1.015523324</v>
      </c>
    </row>
    <row r="25" ht="15.75" customHeight="1">
      <c r="A25" s="19">
        <v>4.0</v>
      </c>
      <c r="B25" s="20">
        <v>0.7882</v>
      </c>
      <c r="C25" s="21">
        <f t="shared" si="5"/>
        <v>3.286729257</v>
      </c>
      <c r="D25" s="22">
        <f t="shared" si="6"/>
        <v>0.8216823141</v>
      </c>
    </row>
    <row r="26" ht="15.75" customHeight="1">
      <c r="A26" s="19">
        <v>8.0</v>
      </c>
      <c r="B26" s="20">
        <v>0.6421</v>
      </c>
      <c r="C26" s="21">
        <f t="shared" si="5"/>
        <v>4.034574054</v>
      </c>
      <c r="D26" s="22">
        <f t="shared" si="6"/>
        <v>0.5043217567</v>
      </c>
    </row>
    <row r="27" ht="15.75" customHeight="1"/>
    <row r="28" ht="15.75" customHeight="1">
      <c r="A28" s="15" t="s">
        <v>64</v>
      </c>
      <c r="B28" s="16"/>
      <c r="C28" s="16"/>
      <c r="D28" s="17"/>
    </row>
    <row r="29" ht="15.75" customHeight="1">
      <c r="A29" s="18" t="s">
        <v>57</v>
      </c>
      <c r="B29" s="18" t="s">
        <v>58</v>
      </c>
      <c r="C29" s="18" t="s">
        <v>59</v>
      </c>
      <c r="D29" s="18" t="s">
        <v>60</v>
      </c>
    </row>
    <row r="30" ht="15.75" customHeight="1">
      <c r="A30" s="19">
        <v>1.0</v>
      </c>
      <c r="B30" s="20">
        <v>0.1933</v>
      </c>
      <c r="C30" s="21">
        <f t="shared" ref="C30:C33" si="7">IF(OR(B30="",$B$30=""),"",$B$30/B30)</f>
        <v>1</v>
      </c>
      <c r="D30" s="22">
        <f t="shared" ref="D30:D33" si="8">IF(C30="","",C30/A30)</f>
        <v>1</v>
      </c>
    </row>
    <row r="31" ht="15.75" customHeight="1">
      <c r="A31" s="19">
        <v>2.0</v>
      </c>
      <c r="B31" s="20">
        <v>0.1153</v>
      </c>
      <c r="C31" s="21">
        <f t="shared" si="7"/>
        <v>1.676496097</v>
      </c>
      <c r="D31" s="22">
        <f t="shared" si="8"/>
        <v>0.8382480486</v>
      </c>
    </row>
    <row r="32" ht="15.75" customHeight="1">
      <c r="A32" s="19">
        <v>4.0</v>
      </c>
      <c r="B32" s="20">
        <v>0.0873</v>
      </c>
      <c r="C32" s="21">
        <f t="shared" si="7"/>
        <v>2.214203895</v>
      </c>
      <c r="D32" s="22">
        <f t="shared" si="8"/>
        <v>0.5535509737</v>
      </c>
    </row>
    <row r="33" ht="15.75" customHeight="1">
      <c r="A33" s="19">
        <v>8.0</v>
      </c>
      <c r="B33" s="20">
        <v>0.07608</v>
      </c>
      <c r="C33" s="21">
        <f t="shared" si="7"/>
        <v>2.540746583</v>
      </c>
      <c r="D33" s="22">
        <f t="shared" si="8"/>
        <v>0.3175933228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7:D7"/>
    <mergeCell ref="A14:D14"/>
    <mergeCell ref="A21:D21"/>
    <mergeCell ref="A28:D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22.29"/>
    <col customWidth="1" min="4" max="26" width="8.71"/>
  </cols>
  <sheetData>
    <row r="1">
      <c r="A1" s="24" t="s">
        <v>65</v>
      </c>
    </row>
    <row r="2">
      <c r="A2" s="25" t="s">
        <v>66</v>
      </c>
      <c r="B2" s="25" t="s">
        <v>67</v>
      </c>
    </row>
    <row r="3">
      <c r="A3" s="26">
        <f>Resultados!A9</f>
        <v>1</v>
      </c>
      <c r="B3" s="26">
        <f t="shared" ref="B3:B6" si="1">A3</f>
        <v>1</v>
      </c>
    </row>
    <row r="4">
      <c r="A4" s="26">
        <f>Resultados!A10</f>
        <v>2</v>
      </c>
      <c r="B4" s="26">
        <f t="shared" si="1"/>
        <v>2</v>
      </c>
    </row>
    <row r="5">
      <c r="A5" s="26">
        <f>Resultados!A11</f>
        <v>4</v>
      </c>
      <c r="B5" s="26">
        <f t="shared" si="1"/>
        <v>4</v>
      </c>
    </row>
    <row r="6">
      <c r="A6" s="26">
        <f>Resultados!A12</f>
        <v>8</v>
      </c>
      <c r="B6" s="26">
        <f t="shared" si="1"/>
        <v>8</v>
      </c>
    </row>
    <row r="9">
      <c r="A9" s="11" t="s">
        <v>68</v>
      </c>
    </row>
    <row r="10">
      <c r="A10" s="11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